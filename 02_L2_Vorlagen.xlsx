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Decision_Table" sheetId="3" state="visible" r:id="rId5"/>
    <sheet name="Testfael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<sst xmlns="http://schemas.openxmlformats.org/spreadsheetml/2006/main" count="434" uniqueCount="290">
  <si>
    <t xml:space="preserve">L2-Vorlagen — CDSS Mini-Projekt (FHNW MSc MI, 2026)</t>
  </si>
  <si>
    <t xml:space="preserve">Diese Arbeitsmappe enthält die L2-Artefakte gemäss Assignment:</t>
  </si>
  <si>
    <t xml:space="preserve">  1. Data_Dictionary — 30–50 Datenelemente mit Typ, Antwortoptionen, Conditional Logic, Standards-Mapping</t>
  </si>
  <si>
    <t xml:space="preserve">  2. Decision_Table — Entscheidungslogik im Stil der WHO SMART Guideline DAKs</t>
  </si>
  <si>
    <t xml:space="preserve">  3. Testfaelle — QA: risikobasierte Testfälle für die L2→L4-Übersetzung</t>
  </si>
  <si>
    <t xml:space="preserve">Legende:</t>
  </si>
  <si>
    <t xml:space="preserve">  Gelb hinterlegte Zeilen = Entwurf für euren Use Case 'WundCheck' (Wundkontrolle nach OP mit Naht) — prüfen, anpassen, ergänzen</t>
  </si>
  <si>
    <t xml:space="preserve">  Alle anderen Zellen unter den blauen Kopfzeilen = von euch auszufüllen</t>
  </si>
  <si>
    <t xml:space="preserve">Die Zeilen entsprechen 1:1 dem mitgelieferten L3 (03_L3_definition.json) — Kette L2 → L3 → L4 nachvollziehbar.</t>
  </si>
  <si>
    <t xml:space="preserve">Quellen der Entwurfs-Logik: CDC/NHSN SSI-Kriterien, NICE NG125 (SSI) — VON DER GRUPPE ZU VALIDIEREN (L1-Arbeit!).</t>
  </si>
  <si>
    <t xml:space="preserve">Aktuell 28 Elemente — Ziel 30–50: ergänzt z.B. Verbandwechsel, Allergien, Antibiotika-Details, Wunddauer, Foto-Upload (optional).</t>
  </si>
  <si>
    <t xml:space="preserve">element_id</t>
  </si>
  <si>
    <t xml:space="preserve">label</t>
  </si>
  <si>
    <t xml:space="preserve">section</t>
  </si>
  <si>
    <t xml:space="preserve">type</t>
  </si>
  <si>
    <t xml:space="preserve">response_options</t>
  </si>
  <si>
    <t xml:space="preserve">required</t>
  </si>
  <si>
    <t xml:space="preserve">relevant (conditional logic)</t>
  </si>
  <si>
    <t xml:space="preserve">calculation</t>
  </si>
  <si>
    <t xml:space="preserve">constraint</t>
  </si>
  <si>
    <t xml:space="preserve">standard_mapping</t>
  </si>
  <si>
    <t xml:space="preserve">l1_source</t>
  </si>
  <si>
    <t xml:space="preserve">notes</t>
  </si>
  <si>
    <t xml:space="preserve">Eindeutige ID, snake_case — identisch im L3 verwenden</t>
  </si>
  <si>
    <t xml:space="preserve">Frage/Label wie im UI angezeigt</t>
  </si>
  <si>
    <t xml:space="preserve">Gruppierung (UX: Reihenfolge &amp; Gruppen!)</t>
  </si>
  <si>
    <t xml:space="preserve">text / integer / decimal / date / select_one / select_multiple / calculated / note</t>
  </si>
  <si>
    <t xml:space="preserve">Bei select: Optionen mit Codes, z.B. 1=Ja | 0=Nein</t>
  </si>
  <si>
    <t xml:space="preserve">ja / nein</t>
  </si>
  <si>
    <t xml:space="preserve">Bedingung, wann Element erscheint, z.B. smoker = 1</t>
  </si>
  <si>
    <t xml:space="preserve">Nur für type=calculated, z.B. weight / (height/100)^2</t>
  </si>
  <si>
    <t xml:space="preserve">Plausibilität, z.B. 40–250; Fehlermeldung</t>
  </si>
  <si>
    <t xml:space="preserve">LOINC / SNOMED CT / ICD-10 Code</t>
  </si>
  <si>
    <t xml:space="preserve">Abschnitt/Seite in der Guideline</t>
  </si>
  <si>
    <t xml:space="preserve">Annahmen, offene Fragen</t>
  </si>
  <si>
    <t xml:space="preserve">pat_name</t>
  </si>
  <si>
    <t xml:space="preserve">Name</t>
  </si>
  <si>
    <t xml:space="preserve">1 OP-Angaben</t>
  </si>
  <si>
    <t xml:space="preserve">text</t>
  </si>
  <si>
    <t xml:space="preserve">ja</t>
  </si>
  <si>
    <t xml:space="preserve">—</t>
  </si>
  <si>
    <t xml:space="preserve">Demo; produktiv via EHR/Portal</t>
  </si>
  <si>
    <t xml:space="preserve">pat_dob</t>
  </si>
  <si>
    <t xml:space="preserve">Geburtsdatum</t>
  </si>
  <si>
    <t xml:space="preserve">date</t>
  </si>
  <si>
    <t xml:space="preserve">nicht in Zukunft</t>
  </si>
  <si>
    <t xml:space="preserve">LOINC 21112-8</t>
  </si>
  <si>
    <t xml:space="preserve">pat_age</t>
  </si>
  <si>
    <t xml:space="preserve">Alter (Jahre)</t>
  </si>
  <si>
    <t xml:space="preserve">calculated</t>
  </si>
  <si>
    <t xml:space="preserve">ageYears(pat_dob)</t>
  </si>
  <si>
    <t xml:space="preserve">LOINC 30525-0</t>
  </si>
  <si>
    <t xml:space="preserve">abgeleitet</t>
  </si>
  <si>
    <t xml:space="preserve">op_date</t>
  </si>
  <si>
    <t xml:space="preserve">Datum der Operation</t>
  </si>
  <si>
    <t xml:space="preserve">SNOMED 387713003</t>
  </si>
  <si>
    <t xml:space="preserve">days_post_op</t>
  </si>
  <si>
    <t xml:space="preserve">Tage seit OP</t>
  </si>
  <si>
    <t xml:space="preserve">daysSince(op_date)</t>
  </si>
  <si>
    <t xml:space="preserve">abgeleitet; steuert Regeln (Tag 1-3 vs. später)</t>
  </si>
  <si>
    <t xml:space="preserve">op_site</t>
  </si>
  <si>
    <t xml:space="preserve">Körperstelle der Wunde</t>
  </si>
  <si>
    <t xml:space="preserve">select_one</t>
  </si>
  <si>
    <t xml:space="preserve">kiefer|bauch|bein|arm|andere</t>
  </si>
  <si>
    <t xml:space="preserve">closure</t>
  </si>
  <si>
    <t xml:space="preserve">Wundverschluss</t>
  </si>
  <si>
    <t xml:space="preserve">1=Naht | 2=Klammern | 3=Kleber/Steristrips</t>
  </si>
  <si>
    <t xml:space="preserve">diabetes</t>
  </si>
  <si>
    <t xml:space="preserve">Diabetes?</t>
  </si>
  <si>
    <t xml:space="preserve">2 Risiko</t>
  </si>
  <si>
    <t xml:space="preserve">1=Ja | 0=Nein | 9=Weiss nicht</t>
  </si>
  <si>
    <t xml:space="preserve">ICD-10 E10-E14</t>
  </si>
  <si>
    <t xml:space="preserve">SSI-Risikofaktoren</t>
  </si>
  <si>
    <t xml:space="preserve">smoker</t>
  </si>
  <si>
    <t xml:space="preserve">Raucher/in?</t>
  </si>
  <si>
    <t xml:space="preserve">1=Ja | 0=Nein</t>
  </si>
  <si>
    <t xml:space="preserve">SNOMED 77176002</t>
  </si>
  <si>
    <t xml:space="preserve">immunosuppr</t>
  </si>
  <si>
    <t xml:space="preserve">Immunschwächende Medikamente?</t>
  </si>
  <si>
    <t xml:space="preserve">anticoag</t>
  </si>
  <si>
    <t xml:space="preserve">Blutverdünner?</t>
  </si>
  <si>
    <t xml:space="preserve">relevant für Blutungsregeln</t>
  </si>
  <si>
    <t xml:space="preserve">risk_count</t>
  </si>
  <si>
    <t xml:space="preserve">Anzahl Risikofaktoren</t>
  </si>
  <si>
    <t xml:space="preserve">Summe(diabetes=1, smoker=1, immunosuppr=1)</t>
  </si>
  <si>
    <t xml:space="preserve">abgeleitet; Hinweis-Regel I1</t>
  </si>
  <si>
    <t xml:space="preserve">temp</t>
  </si>
  <si>
    <t xml:space="preserve">Körpertemperatur (°C)</t>
  </si>
  <si>
    <t xml:space="preserve">3 Allgemein</t>
  </si>
  <si>
    <t xml:space="preserve">decimal</t>
  </si>
  <si>
    <t xml:space="preserve">34-43</t>
  </si>
  <si>
    <t xml:space="preserve">LOINC 8310-5</t>
  </si>
  <si>
    <t xml:space="preserve">CDC SSI (Fieber)</t>
  </si>
  <si>
    <t xml:space="preserve">fever</t>
  </si>
  <si>
    <t xml:space="preserve">Fieber ab 38.0</t>
  </si>
  <si>
    <t xml:space="preserve">temp &gt;= 38 → Ja/Nein</t>
  </si>
  <si>
    <t xml:space="preserve">CDC SSI</t>
  </si>
  <si>
    <t xml:space="preserve">chills</t>
  </si>
  <si>
    <t xml:space="preserve">Schüttelfrost?</t>
  </si>
  <si>
    <t xml:space="preserve">SNOMED 43724002</t>
  </si>
  <si>
    <t xml:space="preserve">Sepsis-Red-Flag</t>
  </si>
  <si>
    <t xml:space="preserve">pain</t>
  </si>
  <si>
    <t xml:space="preserve">Schmerz 0-10 (NRS)</t>
  </si>
  <si>
    <t xml:space="preserve">integer</t>
  </si>
  <si>
    <t xml:space="preserve">0-10</t>
  </si>
  <si>
    <t xml:space="preserve">LOINC 72514-3</t>
  </si>
  <si>
    <t xml:space="preserve">NICE NG125</t>
  </si>
  <si>
    <t xml:space="preserve">pain_trend</t>
  </si>
  <si>
    <t xml:space="preserve">Schmerz vs. gestern</t>
  </si>
  <si>
    <t xml:space="preserve">0=Besser | 1=Gleich | 2=Schlechter</t>
  </si>
  <si>
    <t xml:space="preserve">Ersatz für echte Verlaufsdaten (MVP)</t>
  </si>
  <si>
    <t xml:space="preserve">wellbeing</t>
  </si>
  <si>
    <t xml:space="preserve">Allgemeinbefinden</t>
  </si>
  <si>
    <t xml:space="preserve">0=Gut | 1=Müde | 2=Richtig krank</t>
  </si>
  <si>
    <t xml:space="preserve">meds_taken</t>
  </si>
  <si>
    <t xml:space="preserve">Medikamente eingenommen?</t>
  </si>
  <si>
    <t xml:space="preserve">1=Ja | 0=Nein | 2=Keine verordnet</t>
  </si>
  <si>
    <t xml:space="preserve">Hinweis-Regel I2</t>
  </si>
  <si>
    <t xml:space="preserve">wound_state</t>
  </si>
  <si>
    <t xml:space="preserve">Wundbild (Grafik-Auswahl!)</t>
  </si>
  <si>
    <t xml:space="preserve">4 Wunde</t>
  </si>
  <si>
    <t xml:space="preserve">1=Ruhig&amp;trocken | 2=Leicht gerötet | 3=Stark gerötet+geschwollen | 4=Offen/Eiter</t>
  </si>
  <si>
    <t xml:space="preserve">CDC SSI (Inspektion)</t>
  </si>
  <si>
    <t xml:space="preserve">BILD-Optionen: Patient klickt 'so sieht es aus'</t>
  </si>
  <si>
    <t xml:space="preserve">redness</t>
  </si>
  <si>
    <t xml:space="preserve">Ausdehnung der Rötung</t>
  </si>
  <si>
    <t xml:space="preserve">1=Nur Wundrand | 2=Über Rand hinaus | 3=Ausbreitend/Streifen</t>
  </si>
  <si>
    <t xml:space="preserve">wound_state &gt;= 2</t>
  </si>
  <si>
    <t xml:space="preserve">SNOMED 247441003</t>
  </si>
  <si>
    <t xml:space="preserve">Lymphangitis-Red-Flag</t>
  </si>
  <si>
    <t xml:space="preserve">conditional: nur wenn Rötung sichtbar</t>
  </si>
  <si>
    <t xml:space="preserve">swelling</t>
  </si>
  <si>
    <t xml:space="preserve">Schwellung</t>
  </si>
  <si>
    <t xml:space="preserve">0=Nein | 1=Leicht | 2=Deutlich | 3=Stark&amp;zunehmend</t>
  </si>
  <si>
    <t xml:space="preserve">SNOMED 65124004</t>
  </si>
  <si>
    <t xml:space="preserve">secretion</t>
  </si>
  <si>
    <t xml:space="preserve">Wundsekret (Grafik-Auswahl!)</t>
  </si>
  <si>
    <t xml:space="preserve">0=Keins | 1=Klar | 2=Blutig | 3=Trüb/eitrig</t>
  </si>
  <si>
    <t xml:space="preserve">SNOMED 449736006</t>
  </si>
  <si>
    <t xml:space="preserve">CDC SSI (Hauptkriterium)</t>
  </si>
  <si>
    <t xml:space="preserve">BILD-Optionen (Tropfen-Icons)</t>
  </si>
  <si>
    <t xml:space="preserve">secretion_smell</t>
  </si>
  <si>
    <t xml:space="preserve">Sekret riecht unangenehm?</t>
  </si>
  <si>
    <t xml:space="preserve">secretion &gt;= 1</t>
  </si>
  <si>
    <t xml:space="preserve">Infektionszeichen</t>
  </si>
  <si>
    <t xml:space="preserve">conditional</t>
  </si>
  <si>
    <t xml:space="preserve">bleeding</t>
  </si>
  <si>
    <t xml:space="preserve">Blutung</t>
  </si>
  <si>
    <t xml:space="preserve">0=Nein | 1=Leicht | 2=Stark (Verband durchnässt)</t>
  </si>
  <si>
    <t xml:space="preserve">Nachsorge-Standard</t>
  </si>
  <si>
    <t xml:space="preserve">wound_open</t>
  </si>
  <si>
    <t xml:space="preserve">Wundränder geschlossen?</t>
  </si>
  <si>
    <t xml:space="preserve">0=Geschlossen | 1=Kleine Lücke | 2=Klafft auseinander</t>
  </si>
  <si>
    <t xml:space="preserve">Dehiszenz-Red-Flag</t>
  </si>
  <si>
    <t xml:space="preserve">warmth</t>
  </si>
  <si>
    <t xml:space="preserve">Haut um Wunde heiss?</t>
  </si>
  <si>
    <t xml:space="preserve">CDC SSI (Überwärmung)</t>
  </si>
  <si>
    <t xml:space="preserve">numbness</t>
  </si>
  <si>
    <t xml:space="preserve">Neues Taubheitsgefühl/Kribbeln?</t>
  </si>
  <si>
    <t xml:space="preserve">Nervenirritation; gelb-Regel</t>
  </si>
  <si>
    <t xml:space="preserve">crust</t>
  </si>
  <si>
    <t xml:space="preserve">Wundschorf/Kruste gebildet?</t>
  </si>
  <si>
    <t xml:space="preserve">SNOMED (zu ergänzen)</t>
  </si>
  <si>
    <t xml:space="preserve">Wundheilungsphasen</t>
  </si>
  <si>
    <t xml:space="preserve">KEIN Warnzeichen: Info-Regel I4 beruhigt; Warn-Regeln haben Vorrang</t>
  </si>
  <si>
    <t xml:space="preserve">Decision Table — Stil: WHO SMART Guidelines DAK (eine Zeile = eine Regel; Regeln von oben nach unten prüfen, erste zutreffende gewinnt)</t>
  </si>
  <si>
    <t xml:space="preserve">rule_id</t>
  </si>
  <si>
    <t xml:space="preserve">Entscheidung / Output-Typ</t>
  </si>
  <si>
    <t xml:space="preserve">Input(s) / Bedingungen (UND-verknüpft)</t>
  </si>
  <si>
    <t xml:space="preserve">Output / Empfehlung</t>
  </si>
  <si>
    <t xml:space="preserve">Priorität/Farbe</t>
  </si>
  <si>
    <t xml:space="preserve">Annotation / Begründung</t>
  </si>
  <si>
    <t xml:space="preserve">L1-Referenz</t>
  </si>
  <si>
    <t xml:space="preserve">R1</t>
  </si>
  <si>
    <t xml:space="preserve">Wundstatus</t>
  </si>
  <si>
    <t xml:space="preserve">temp &gt;= 39 ODER chills = 1</t>
  </si>
  <si>
    <t xml:space="preserve">NOTFALL: Sofort Praxis/Notfalldienst kontaktieren (V.a. systemische Infektion)</t>
  </si>
  <si>
    <t xml:space="preserve">ROT</t>
  </si>
  <si>
    <t xml:space="preserve">Worst-first: systemische Zeichen zuerst prüfen</t>
  </si>
  <si>
    <t xml:space="preserve">CDC SSI / Sepsis-Red-Flags</t>
  </si>
  <si>
    <t xml:space="preserve">R2</t>
  </si>
  <si>
    <t xml:space="preserve">redness = 3 (ausbreitend / roter Streifen)</t>
  </si>
  <si>
    <t xml:space="preserve">NOTFALL: Noch heute ärztliche Beurteilung (V.a. Lymphangitis)</t>
  </si>
  <si>
    <t xml:space="preserve">R3</t>
  </si>
  <si>
    <t xml:space="preserve">wound_open = 2 ODER bleeding = 2 ODER wound_state = 4</t>
  </si>
  <si>
    <t xml:space="preserve">NOTFALL: Sofort kontaktieren; Wunde steril abdecken</t>
  </si>
  <si>
    <t xml:space="preserve">Wundbild 'offen/Eiter' eskaliert immer (Sicherheitsprinzip)</t>
  </si>
  <si>
    <t xml:space="preserve">Nachsorge-Standards</t>
  </si>
  <si>
    <t xml:space="preserve">R4</t>
  </si>
  <si>
    <t xml:space="preserve">secretion = 3 ODER secretion_smell = 1</t>
  </si>
  <si>
    <t xml:space="preserve">INFEKTIONSVERDACHT: Heute Praxis kontaktieren</t>
  </si>
  <si>
    <t xml:space="preserve">ORANGE</t>
  </si>
  <si>
    <t xml:space="preserve">Eitriges Sekret = Hauptkriterium oberflächliche SSI</t>
  </si>
  <si>
    <t xml:space="preserve">CDC/NHSN SSI</t>
  </si>
  <si>
    <t xml:space="preserve">R5</t>
  </si>
  <si>
    <t xml:space="preserve">temp &gt;= 38 ODER (pain &gt;= 7 UND pain_trend = 2 UND days_post_op &gt;= 3)</t>
  </si>
  <si>
    <t xml:space="preserve">Schmerz soll ab Tag 3 rückläufig sein</t>
  </si>
  <si>
    <t xml:space="preserve">R6</t>
  </si>
  <si>
    <t xml:space="preserve">(wound_state = 3 ODER redness = 2 ODER swelling &gt;= 2 ODER warmth = 1) UND days_post_op &gt;= 3</t>
  </si>
  <si>
    <t xml:space="preserve">AUFFÄLLIG: Genau beobachten, bei Ausbleiben der Besserung morgen melden</t>
  </si>
  <si>
    <t xml:space="preserve">GELB</t>
  </si>
  <si>
    <t xml:space="preserve">Tag 1-3: leichte Rötung/Schwellung = normale Entzündungsphase</t>
  </si>
  <si>
    <t xml:space="preserve">R7</t>
  </si>
  <si>
    <t xml:space="preserve">wound_open = 1 ODER numbness = 1</t>
  </si>
  <si>
    <t xml:space="preserve">AUFFÄLLIG: Beim Kontrolltermin ansprechen; bei Verschlechterung melden</t>
  </si>
  <si>
    <t xml:space="preserve">R8</t>
  </si>
  <si>
    <t xml:space="preserve">sonst (Catch-all)</t>
  </si>
  <si>
    <t xml:space="preserve">NORMAL: Wundheilung verläuft normal, morgen nächste Kontrolle</t>
  </si>
  <si>
    <t xml:space="preserve">GRÜN</t>
  </si>
  <si>
    <t xml:space="preserve">greift nur, wenn keine Regel oben zutrifft</t>
  </si>
  <si>
    <t xml:space="preserve">I1</t>
  </si>
  <si>
    <t xml:space="preserve">Hinweis</t>
  </si>
  <si>
    <t xml:space="preserve">risk_count &gt;= 2</t>
  </si>
  <si>
    <t xml:space="preserve">Erhöhtes Risiko: alle Kontrolltermine wahrnehmen</t>
  </si>
  <si>
    <t xml:space="preserve">INFO</t>
  </si>
  <si>
    <t xml:space="preserve">nicht-exklusiv: feuert zusätzlich</t>
  </si>
  <si>
    <t xml:space="preserve">I2</t>
  </si>
  <si>
    <t xml:space="preserve">meds_taken = 0</t>
  </si>
  <si>
    <t xml:space="preserve">Verordnete Medikamente einnehmen</t>
  </si>
  <si>
    <t xml:space="preserve">nicht-exklusiv</t>
  </si>
  <si>
    <t xml:space="preserve">I3</t>
  </si>
  <si>
    <t xml:space="preserve">smoker = 1</t>
  </si>
  <si>
    <t xml:space="preserve">Rauchen verlangsamt Wundheilung</t>
  </si>
  <si>
    <t xml:space="preserve">I4</t>
  </si>
  <si>
    <t xml:space="preserve">crust = 1</t>
  </si>
  <si>
    <t xml:space="preserve">Kruste = normales Heilungszeichen, nicht entfernen</t>
  </si>
  <si>
    <t xml:space="preserve">Designentscheid: Kruste ist kein Warnzeichen (L1→L2-Entscheid dokumentieren!)</t>
  </si>
  <si>
    <t xml:space="preserve">Risikobasiertes QA-Testing — prüft die L2→L3→L4-Übersetzung. Priorität nach klinischem Risiko (Was passiert, wenn diese Regel falsch feuert?)</t>
  </si>
  <si>
    <t xml:space="preserve">test_id</t>
  </si>
  <si>
    <t xml:space="preserve">Getestete Regel / Element</t>
  </si>
  <si>
    <t xml:space="preserve">Risiko-Priorität</t>
  </si>
  <si>
    <t xml:space="preserve">Eingaben (Testdaten)</t>
  </si>
  <si>
    <t xml:space="preserve">Erwartetes Ergebnis (gemäss L2)</t>
  </si>
  <si>
    <t xml:space="preserve">Tatsächliches Ergebnis (L4)</t>
  </si>
  <si>
    <t xml:space="preserve">Status</t>
  </si>
  <si>
    <t xml:space="preserve">Bemerkung / Fix</t>
  </si>
  <si>
    <t xml:space="preserve">T1</t>
  </si>
  <si>
    <t xml:space="preserve">R1 (ROT)</t>
  </si>
  <si>
    <t xml:space="preserve">hoch</t>
  </si>
  <si>
    <t xml:space="preserve">temp=39.2, alle Wundfragen unauffällig</t>
  </si>
  <si>
    <t xml:space="preserve">ROT (Fieber allein reicht für Notfall)</t>
  </si>
  <si>
    <t xml:space="preserve">offen</t>
  </si>
  <si>
    <t xml:space="preserve">Grenzwert oberhalb 39</t>
  </si>
  <si>
    <t xml:space="preserve">T2</t>
  </si>
  <si>
    <t xml:space="preserve">R1 Grenzwert</t>
  </si>
  <si>
    <t xml:space="preserve">temp=39.0</t>
  </si>
  <si>
    <t xml:space="preserve">ROT (&gt;= 39.0 einschliesslich!)</t>
  </si>
  <si>
    <t xml:space="preserve">Klassiker: &gt;= vs. &gt;</t>
  </si>
  <si>
    <t xml:space="preserve">T3</t>
  </si>
  <si>
    <t xml:space="preserve">R3 Sicherheitsregel</t>
  </si>
  <si>
    <t xml:space="preserve">wound_state=4 (Bild 'Offen/Eiter'), sonst alles unauffällig</t>
  </si>
  <si>
    <t xml:space="preserve">ROT (Bild-Auswahl allein eskaliert)</t>
  </si>
  <si>
    <t xml:space="preserve">Safety: Bild schlägt andere Angaben</t>
  </si>
  <si>
    <t xml:space="preserve">T4</t>
  </si>
  <si>
    <t xml:space="preserve">R5 vs R6 Reihenfolge</t>
  </si>
  <si>
    <t xml:space="preserve">temp=38.2, wound_state=3, days_post_op=5</t>
  </si>
  <si>
    <t xml:space="preserve">ORANGE (R5 feuert vor R6)</t>
  </si>
  <si>
    <t xml:space="preserve">Regel-Reihenfolge</t>
  </si>
  <si>
    <t xml:space="preserve">T5</t>
  </si>
  <si>
    <t xml:space="preserve">days_post_op-Logik</t>
  </si>
  <si>
    <t xml:space="preserve">mittel</t>
  </si>
  <si>
    <t xml:space="preserve">wound_state=3, days_post_op=2</t>
  </si>
  <si>
    <t xml:space="preserve">GRÜN/kein GELB (Tag 1-3: Rötung normal)</t>
  </si>
  <si>
    <t xml:space="preserve">abgeleitetes Element steuert Regel</t>
  </si>
  <si>
    <t xml:space="preserve">T6</t>
  </si>
  <si>
    <t xml:space="preserve">Conditional redness</t>
  </si>
  <si>
    <t xml:space="preserve">wound_state=1</t>
  </si>
  <si>
    <t xml:space="preserve">Frage 'Ausdehnung Rötung' wird NICHT angezeigt</t>
  </si>
  <si>
    <t xml:space="preserve">relevant-Logik</t>
  </si>
  <si>
    <t xml:space="preserve">T7</t>
  </si>
  <si>
    <t xml:space="preserve">Constraint temp</t>
  </si>
  <si>
    <t xml:space="preserve">temp=45</t>
  </si>
  <si>
    <t xml:space="preserve">Eingabe abgelehnt (34-43)</t>
  </si>
  <si>
    <t xml:space="preserve">Datenqualität</t>
  </si>
  <si>
    <t xml:space="preserve">T8</t>
  </si>
  <si>
    <t xml:space="preserve">I-Regeln nicht-exklusiv</t>
  </si>
  <si>
    <t xml:space="preserve">niedrig</t>
  </si>
  <si>
    <t xml:space="preserve">smoker=1, diabetes=1, immunosuppr=1, meds_taken=0, Wunde normal</t>
  </si>
  <si>
    <t xml:space="preserve">GRÜN + I1 + I2 + I3 gleichzeitig</t>
  </si>
  <si>
    <t xml:space="preserve">exclusive=false Verhalten</t>
  </si>
  <si>
    <t xml:space="preserve">T9</t>
  </si>
  <si>
    <t xml:space="preserve">Kruste-Logik (I4)</t>
  </si>
  <si>
    <t xml:space="preserve">crust=1, alles andere unauffällig</t>
  </si>
  <si>
    <t xml:space="preserve">GRÜN + Info 'Kruste = normal'; KEINE Warnung</t>
  </si>
  <si>
    <t xml:space="preserve">Kruste darf nicht eskalieren</t>
  </si>
  <si>
    <t xml:space="preserve">T10</t>
  </si>
  <si>
    <t xml:space="preserve">Kruste + Eiter (worst-first)</t>
  </si>
  <si>
    <t xml:space="preserve">crust=1 UND secretion=3</t>
  </si>
  <si>
    <t xml:space="preserve">ORANGE R4 feuert; I4-Info zusätzlich ok</t>
  </si>
  <si>
    <t xml:space="preserve">Warn-Regel schlägt Beruhigung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</si>
</sst>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10" min="9" style="0" width="26"/>
    <col collapsed="false" customWidth="true" hidden="false" outlineLevel="0" max="11" min="11" style="0" width="22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N1" s="6" t="str">
        <f aca="false">COUNTA(A3:A200)&amp;" Datenelemente erfasst (Ziel: 30–50)"</f>
        <v>29 Datenelemente erfasst (Ziel: 30–50)</v>
      </c>
    </row>
    <row r="2" customFormat="false" ht="25.5" hidden="false" customHeight="tru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</row>
    <row r="3" customFormat="false" ht="15" hidden="false" customHeight="false" outlineLevel="0" collapsed="false">
      <c r="A3" s="8" t="s">
        <v>35</v>
      </c>
      <c r="B3" s="8" t="s">
        <v>36</v>
      </c>
      <c r="C3" s="8" t="s">
        <v>37</v>
      </c>
      <c r="D3" s="8" t="s">
        <v>38</v>
      </c>
      <c r="E3" s="8"/>
      <c r="F3" s="8" t="s">
        <v>39</v>
      </c>
      <c r="G3" s="8"/>
      <c r="H3" s="8"/>
      <c r="I3" s="8"/>
      <c r="J3" s="8"/>
      <c r="K3" s="8" t="s">
        <v>40</v>
      </c>
      <c r="L3" s="8" t="s">
        <v>41</v>
      </c>
    </row>
    <row r="4" customFormat="false" ht="15" hidden="false" customHeight="false" outlineLevel="0" collapsed="false">
      <c r="A4" s="8" t="s">
        <v>42</v>
      </c>
      <c r="B4" s="8" t="s">
        <v>43</v>
      </c>
      <c r="C4" s="8" t="s">
        <v>37</v>
      </c>
      <c r="D4" s="8" t="s">
        <v>44</v>
      </c>
      <c r="E4" s="8"/>
      <c r="F4" s="8" t="s">
        <v>39</v>
      </c>
      <c r="G4" s="8"/>
      <c r="H4" s="8"/>
      <c r="I4" s="8" t="s">
        <v>45</v>
      </c>
      <c r="J4" s="8" t="s">
        <v>46</v>
      </c>
      <c r="K4" s="8" t="s">
        <v>40</v>
      </c>
      <c r="L4" s="8"/>
    </row>
    <row r="5" customFormat="false" ht="15" hidden="false" customHeight="false" outlineLevel="0" collapsed="false">
      <c r="A5" s="8" t="s">
        <v>47</v>
      </c>
      <c r="B5" s="8" t="s">
        <v>48</v>
      </c>
      <c r="C5" s="8" t="s">
        <v>37</v>
      </c>
      <c r="D5" s="8" t="s">
        <v>49</v>
      </c>
      <c r="E5" s="8"/>
      <c r="F5" s="8" t="s">
        <v>40</v>
      </c>
      <c r="G5" s="8"/>
      <c r="H5" s="8" t="s">
        <v>50</v>
      </c>
      <c r="I5" s="8"/>
      <c r="J5" s="8" t="s">
        <v>51</v>
      </c>
      <c r="K5" s="8" t="s">
        <v>40</v>
      </c>
      <c r="L5" s="8" t="s">
        <v>52</v>
      </c>
    </row>
    <row r="6" customFormat="false" ht="15" hidden="false" customHeight="false" outlineLevel="0" collapsed="false">
      <c r="A6" s="8" t="s">
        <v>53</v>
      </c>
      <c r="B6" s="8" t="s">
        <v>54</v>
      </c>
      <c r="C6" s="8" t="s">
        <v>37</v>
      </c>
      <c r="D6" s="8" t="s">
        <v>44</v>
      </c>
      <c r="E6" s="8"/>
      <c r="F6" s="8" t="s">
        <v>39</v>
      </c>
      <c r="G6" s="8"/>
      <c r="H6" s="8"/>
      <c r="I6" s="8" t="s">
        <v>45</v>
      </c>
      <c r="J6" s="8" t="s">
        <v>55</v>
      </c>
      <c r="K6" s="8" t="s">
        <v>40</v>
      </c>
      <c r="L6" s="8"/>
    </row>
    <row r="7" customFormat="false" ht="23.85" hidden="false" customHeight="false" outlineLevel="0" collapsed="false">
      <c r="A7" s="8" t="s">
        <v>56</v>
      </c>
      <c r="B7" s="8" t="s">
        <v>57</v>
      </c>
      <c r="C7" s="8" t="s">
        <v>37</v>
      </c>
      <c r="D7" s="8" t="s">
        <v>49</v>
      </c>
      <c r="E7" s="8"/>
      <c r="F7" s="8" t="s">
        <v>40</v>
      </c>
      <c r="G7" s="8"/>
      <c r="H7" s="8" t="s">
        <v>58</v>
      </c>
      <c r="I7" s="8"/>
      <c r="J7" s="8"/>
      <c r="K7" s="8" t="s">
        <v>40</v>
      </c>
      <c r="L7" s="8" t="s">
        <v>59</v>
      </c>
    </row>
    <row r="8" customFormat="false" ht="15" hidden="false" customHeight="false" outlineLevel="0" collapsed="false">
      <c r="A8" s="8" t="s">
        <v>60</v>
      </c>
      <c r="B8" s="8" t="s">
        <v>61</v>
      </c>
      <c r="C8" s="8" t="s">
        <v>37</v>
      </c>
      <c r="D8" s="8" t="s">
        <v>62</v>
      </c>
      <c r="E8" s="8" t="s">
        <v>63</v>
      </c>
      <c r="F8" s="8" t="s">
        <v>39</v>
      </c>
      <c r="G8" s="8"/>
      <c r="H8" s="8"/>
      <c r="I8" s="8"/>
      <c r="J8" s="8"/>
      <c r="K8" s="8" t="s">
        <v>40</v>
      </c>
      <c r="L8" s="8"/>
    </row>
    <row r="9" customFormat="false" ht="23.85" hidden="false" customHeight="false" outlineLevel="0" collapsed="false">
      <c r="A9" s="8" t="s">
        <v>64</v>
      </c>
      <c r="B9" s="8" t="s">
        <v>65</v>
      </c>
      <c r="C9" s="8" t="s">
        <v>37</v>
      </c>
      <c r="D9" s="8" t="s">
        <v>62</v>
      </c>
      <c r="E9" s="8" t="s">
        <v>66</v>
      </c>
      <c r="F9" s="8" t="s">
        <v>39</v>
      </c>
      <c r="G9" s="8"/>
      <c r="H9" s="8"/>
      <c r="I9" s="8"/>
      <c r="J9" s="8"/>
      <c r="K9" s="8" t="s">
        <v>40</v>
      </c>
      <c r="L9" s="8"/>
    </row>
    <row r="10" customFormat="false" ht="15" hidden="false" customHeight="false" outlineLevel="0" collapsed="false">
      <c r="A10" s="8" t="s">
        <v>67</v>
      </c>
      <c r="B10" s="8" t="s">
        <v>68</v>
      </c>
      <c r="C10" s="8" t="s">
        <v>69</v>
      </c>
      <c r="D10" s="8" t="s">
        <v>62</v>
      </c>
      <c r="E10" s="8" t="s">
        <v>70</v>
      </c>
      <c r="F10" s="8" t="s">
        <v>39</v>
      </c>
      <c r="G10" s="8"/>
      <c r="H10" s="8"/>
      <c r="I10" s="8"/>
      <c r="J10" s="8" t="s">
        <v>71</v>
      </c>
      <c r="K10" s="8" t="s">
        <v>72</v>
      </c>
      <c r="L10" s="8"/>
    </row>
    <row r="11" customFormat="false" ht="15" hidden="false" customHeight="false" outlineLevel="0" collapsed="false">
      <c r="A11" s="8" t="s">
        <v>73</v>
      </c>
      <c r="B11" s="8" t="s">
        <v>74</v>
      </c>
      <c r="C11" s="8" t="s">
        <v>69</v>
      </c>
      <c r="D11" s="8" t="s">
        <v>62</v>
      </c>
      <c r="E11" s="8" t="s">
        <v>75</v>
      </c>
      <c r="F11" s="8" t="s">
        <v>39</v>
      </c>
      <c r="G11" s="8"/>
      <c r="H11" s="8"/>
      <c r="I11" s="8"/>
      <c r="J11" s="8" t="s">
        <v>76</v>
      </c>
      <c r="K11" s="8" t="s">
        <v>72</v>
      </c>
      <c r="L11" s="8"/>
    </row>
    <row r="12" customFormat="false" ht="15" hidden="false" customHeight="false" outlineLevel="0" collapsed="false">
      <c r="A12" s="8" t="s">
        <v>77</v>
      </c>
      <c r="B12" s="8" t="s">
        <v>78</v>
      </c>
      <c r="C12" s="8" t="s">
        <v>69</v>
      </c>
      <c r="D12" s="8" t="s">
        <v>62</v>
      </c>
      <c r="E12" s="8" t="s">
        <v>70</v>
      </c>
      <c r="F12" s="8" t="s">
        <v>39</v>
      </c>
      <c r="G12" s="8"/>
      <c r="H12" s="8"/>
      <c r="I12" s="8"/>
      <c r="J12" s="8"/>
      <c r="K12" s="8" t="s">
        <v>72</v>
      </c>
      <c r="L12" s="8"/>
    </row>
    <row r="13" customFormat="false" ht="15" hidden="false" customHeight="false" outlineLevel="0" collapsed="false">
      <c r="A13" s="8" t="s">
        <v>79</v>
      </c>
      <c r="B13" s="8" t="s">
        <v>80</v>
      </c>
      <c r="C13" s="8" t="s">
        <v>69</v>
      </c>
      <c r="D13" s="8" t="s">
        <v>62</v>
      </c>
      <c r="E13" s="8" t="s">
        <v>70</v>
      </c>
      <c r="F13" s="8" t="s">
        <v>39</v>
      </c>
      <c r="G13" s="8"/>
      <c r="H13" s="8"/>
      <c r="I13" s="8"/>
      <c r="J13" s="8"/>
      <c r="K13" s="8" t="s">
        <v>40</v>
      </c>
      <c r="L13" s="8" t="s">
        <v>81</v>
      </c>
    </row>
    <row r="14" customFormat="false" ht="23.85" hidden="false" customHeight="false" outlineLevel="0" collapsed="false">
      <c r="A14" s="8" t="s">
        <v>82</v>
      </c>
      <c r="B14" s="8" t="s">
        <v>83</v>
      </c>
      <c r="C14" s="8" t="s">
        <v>69</v>
      </c>
      <c r="D14" s="8" t="s">
        <v>49</v>
      </c>
      <c r="E14" s="8"/>
      <c r="F14" s="8" t="s">
        <v>40</v>
      </c>
      <c r="G14" s="8"/>
      <c r="H14" s="8" t="s">
        <v>84</v>
      </c>
      <c r="I14" s="8"/>
      <c r="J14" s="8"/>
      <c r="K14" s="8" t="s">
        <v>40</v>
      </c>
      <c r="L14" s="8" t="s">
        <v>85</v>
      </c>
    </row>
    <row r="15" customFormat="false" ht="15" hidden="false" customHeight="false" outlineLevel="0" collapsed="false">
      <c r="A15" s="8" t="s">
        <v>86</v>
      </c>
      <c r="B15" s="8" t="s">
        <v>87</v>
      </c>
      <c r="C15" s="8" t="s">
        <v>88</v>
      </c>
      <c r="D15" s="8" t="s">
        <v>89</v>
      </c>
      <c r="E15" s="8"/>
      <c r="F15" s="8" t="s">
        <v>39</v>
      </c>
      <c r="G15" s="8"/>
      <c r="H15" s="8"/>
      <c r="I15" s="8" t="s">
        <v>90</v>
      </c>
      <c r="J15" s="8" t="s">
        <v>91</v>
      </c>
      <c r="K15" s="8" t="s">
        <v>92</v>
      </c>
      <c r="L15" s="8"/>
    </row>
    <row r="16" customFormat="false" ht="15" hidden="false" customHeight="false" outlineLevel="0" collapsed="false">
      <c r="A16" s="8" t="s">
        <v>93</v>
      </c>
      <c r="B16" s="8" t="s">
        <v>94</v>
      </c>
      <c r="C16" s="8" t="s">
        <v>88</v>
      </c>
      <c r="D16" s="8" t="s">
        <v>49</v>
      </c>
      <c r="E16" s="8"/>
      <c r="F16" s="8" t="s">
        <v>40</v>
      </c>
      <c r="G16" s="8"/>
      <c r="H16" s="8" t="s">
        <v>95</v>
      </c>
      <c r="I16" s="8"/>
      <c r="J16" s="8"/>
      <c r="K16" s="8" t="s">
        <v>96</v>
      </c>
      <c r="L16" s="8" t="s">
        <v>52</v>
      </c>
    </row>
    <row r="17" customFormat="false" ht="15" hidden="false" customHeight="false" outlineLevel="0" collapsed="false">
      <c r="A17" s="8" t="s">
        <v>97</v>
      </c>
      <c r="B17" s="8" t="s">
        <v>98</v>
      </c>
      <c r="C17" s="8" t="s">
        <v>88</v>
      </c>
      <c r="D17" s="8" t="s">
        <v>62</v>
      </c>
      <c r="E17" s="8" t="s">
        <v>75</v>
      </c>
      <c r="F17" s="8" t="s">
        <v>39</v>
      </c>
      <c r="G17" s="8"/>
      <c r="H17" s="8"/>
      <c r="I17" s="8"/>
      <c r="J17" s="8" t="s">
        <v>99</v>
      </c>
      <c r="K17" s="8" t="s">
        <v>100</v>
      </c>
      <c r="L17" s="8"/>
    </row>
    <row r="18" customFormat="false" ht="15" hidden="false" customHeight="false" outlineLevel="0" collapsed="false">
      <c r="A18" s="8" t="s">
        <v>101</v>
      </c>
      <c r="B18" s="8" t="s">
        <v>102</v>
      </c>
      <c r="C18" s="8" t="s">
        <v>88</v>
      </c>
      <c r="D18" s="8" t="s">
        <v>103</v>
      </c>
      <c r="E18" s="8"/>
      <c r="F18" s="8" t="s">
        <v>39</v>
      </c>
      <c r="G18" s="8"/>
      <c r="H18" s="8"/>
      <c r="I18" s="8" t="s">
        <v>104</v>
      </c>
      <c r="J18" s="8" t="s">
        <v>105</v>
      </c>
      <c r="K18" s="8" t="s">
        <v>106</v>
      </c>
      <c r="L18" s="8"/>
    </row>
    <row r="19" customFormat="false" ht="23.85" hidden="false" customHeight="false" outlineLevel="0" collapsed="false">
      <c r="A19" s="8" t="s">
        <v>107</v>
      </c>
      <c r="B19" s="8" t="s">
        <v>108</v>
      </c>
      <c r="C19" s="8" t="s">
        <v>88</v>
      </c>
      <c r="D19" s="8" t="s">
        <v>62</v>
      </c>
      <c r="E19" s="8" t="s">
        <v>109</v>
      </c>
      <c r="F19" s="8" t="s">
        <v>39</v>
      </c>
      <c r="G19" s="8"/>
      <c r="H19" s="8"/>
      <c r="I19" s="8"/>
      <c r="J19" s="8"/>
      <c r="K19" s="8" t="s">
        <v>106</v>
      </c>
      <c r="L19" s="8" t="s">
        <v>110</v>
      </c>
    </row>
    <row r="20" customFormat="false" ht="15" hidden="false" customHeight="false" outlineLevel="0" collapsed="false">
      <c r="A20" s="8" t="s">
        <v>111</v>
      </c>
      <c r="B20" s="8" t="s">
        <v>112</v>
      </c>
      <c r="C20" s="8" t="s">
        <v>88</v>
      </c>
      <c r="D20" s="8" t="s">
        <v>62</v>
      </c>
      <c r="E20" s="8" t="s">
        <v>113</v>
      </c>
      <c r="F20" s="8" t="s">
        <v>39</v>
      </c>
      <c r="G20" s="8"/>
      <c r="H20" s="8"/>
      <c r="I20" s="8"/>
      <c r="J20" s="8"/>
      <c r="K20" s="8" t="s">
        <v>40</v>
      </c>
      <c r="L20" s="8"/>
    </row>
    <row r="21" customFormat="false" ht="15" hidden="false" customHeight="false" outlineLevel="0" collapsed="false">
      <c r="A21" s="8" t="s">
        <v>114</v>
      </c>
      <c r="B21" s="8" t="s">
        <v>115</v>
      </c>
      <c r="C21" s="8" t="s">
        <v>88</v>
      </c>
      <c r="D21" s="8" t="s">
        <v>62</v>
      </c>
      <c r="E21" s="8" t="s">
        <v>116</v>
      </c>
      <c r="F21" s="8" t="s">
        <v>39</v>
      </c>
      <c r="G21" s="8"/>
      <c r="H21" s="8"/>
      <c r="I21" s="8"/>
      <c r="J21" s="8"/>
      <c r="K21" s="8" t="s">
        <v>40</v>
      </c>
      <c r="L21" s="8" t="s">
        <v>117</v>
      </c>
    </row>
    <row r="22" customFormat="false" ht="35.05" hidden="false" customHeight="false" outlineLevel="0" collapsed="false">
      <c r="A22" s="8" t="s">
        <v>118</v>
      </c>
      <c r="B22" s="8" t="s">
        <v>119</v>
      </c>
      <c r="C22" s="8" t="s">
        <v>120</v>
      </c>
      <c r="D22" s="8" t="s">
        <v>62</v>
      </c>
      <c r="E22" s="8" t="s">
        <v>121</v>
      </c>
      <c r="F22" s="8" t="s">
        <v>39</v>
      </c>
      <c r="G22" s="8"/>
      <c r="H22" s="8"/>
      <c r="I22" s="8"/>
      <c r="J22" s="8"/>
      <c r="K22" s="8" t="s">
        <v>122</v>
      </c>
      <c r="L22" s="8" t="s">
        <v>123</v>
      </c>
    </row>
    <row r="23" customFormat="false" ht="23.85" hidden="false" customHeight="false" outlineLevel="0" collapsed="false">
      <c r="A23" s="8" t="s">
        <v>124</v>
      </c>
      <c r="B23" s="8" t="s">
        <v>125</v>
      </c>
      <c r="C23" s="8" t="s">
        <v>120</v>
      </c>
      <c r="D23" s="8" t="s">
        <v>62</v>
      </c>
      <c r="E23" s="8" t="s">
        <v>126</v>
      </c>
      <c r="F23" s="8" t="s">
        <v>39</v>
      </c>
      <c r="G23" s="8" t="s">
        <v>127</v>
      </c>
      <c r="H23" s="8"/>
      <c r="I23" s="8"/>
      <c r="J23" s="8" t="s">
        <v>128</v>
      </c>
      <c r="K23" s="8" t="s">
        <v>129</v>
      </c>
      <c r="L23" s="8" t="s">
        <v>130</v>
      </c>
    </row>
    <row r="24" customFormat="false" ht="23.85" hidden="false" customHeight="false" outlineLevel="0" collapsed="false">
      <c r="A24" s="8" t="s">
        <v>131</v>
      </c>
      <c r="B24" s="8" t="s">
        <v>132</v>
      </c>
      <c r="C24" s="8" t="s">
        <v>120</v>
      </c>
      <c r="D24" s="8" t="s">
        <v>62</v>
      </c>
      <c r="E24" s="8" t="s">
        <v>133</v>
      </c>
      <c r="F24" s="8" t="s">
        <v>39</v>
      </c>
      <c r="G24" s="8"/>
      <c r="H24" s="8"/>
      <c r="I24" s="8"/>
      <c r="J24" s="8" t="s">
        <v>134</v>
      </c>
      <c r="K24" s="8" t="s">
        <v>96</v>
      </c>
      <c r="L24" s="8"/>
    </row>
    <row r="25" customFormat="false" ht="15" hidden="false" customHeight="false" outlineLevel="0" collapsed="false">
      <c r="A25" s="8" t="s">
        <v>135</v>
      </c>
      <c r="B25" s="8" t="s">
        <v>136</v>
      </c>
      <c r="C25" s="8" t="s">
        <v>120</v>
      </c>
      <c r="D25" s="8" t="s">
        <v>62</v>
      </c>
      <c r="E25" s="8" t="s">
        <v>137</v>
      </c>
      <c r="F25" s="8" t="s">
        <v>39</v>
      </c>
      <c r="G25" s="8"/>
      <c r="H25" s="8"/>
      <c r="I25" s="8"/>
      <c r="J25" s="8" t="s">
        <v>138</v>
      </c>
      <c r="K25" s="8" t="s">
        <v>139</v>
      </c>
      <c r="L25" s="8" t="s">
        <v>140</v>
      </c>
    </row>
    <row r="26" customFormat="false" ht="15" hidden="false" customHeight="false" outlineLevel="0" collapsed="false">
      <c r="A26" s="8" t="s">
        <v>141</v>
      </c>
      <c r="B26" s="8" t="s">
        <v>142</v>
      </c>
      <c r="C26" s="8" t="s">
        <v>120</v>
      </c>
      <c r="D26" s="8" t="s">
        <v>62</v>
      </c>
      <c r="E26" s="8" t="s">
        <v>75</v>
      </c>
      <c r="F26" s="8" t="s">
        <v>39</v>
      </c>
      <c r="G26" s="8" t="s">
        <v>143</v>
      </c>
      <c r="H26" s="8"/>
      <c r="I26" s="8"/>
      <c r="J26" s="8"/>
      <c r="K26" s="8" t="s">
        <v>144</v>
      </c>
      <c r="L26" s="8" t="s">
        <v>145</v>
      </c>
    </row>
    <row r="27" customFormat="false" ht="23.85" hidden="false" customHeight="false" outlineLevel="0" collapsed="false">
      <c r="A27" s="8" t="s">
        <v>146</v>
      </c>
      <c r="B27" s="8" t="s">
        <v>147</v>
      </c>
      <c r="C27" s="8" t="s">
        <v>120</v>
      </c>
      <c r="D27" s="8" t="s">
        <v>62</v>
      </c>
      <c r="E27" s="8" t="s">
        <v>148</v>
      </c>
      <c r="F27" s="8" t="s">
        <v>39</v>
      </c>
      <c r="G27" s="8"/>
      <c r="H27" s="8"/>
      <c r="I27" s="8"/>
      <c r="J27" s="8"/>
      <c r="K27" s="8" t="s">
        <v>149</v>
      </c>
      <c r="L27" s="8"/>
    </row>
    <row r="28" customFormat="false" ht="23.85" hidden="false" customHeight="false" outlineLevel="0" collapsed="false">
      <c r="A28" s="8" t="s">
        <v>150</v>
      </c>
      <c r="B28" s="8" t="s">
        <v>151</v>
      </c>
      <c r="C28" s="8" t="s">
        <v>120</v>
      </c>
      <c r="D28" s="8" t="s">
        <v>62</v>
      </c>
      <c r="E28" s="8" t="s">
        <v>152</v>
      </c>
      <c r="F28" s="8" t="s">
        <v>39</v>
      </c>
      <c r="G28" s="8"/>
      <c r="H28" s="8"/>
      <c r="I28" s="8"/>
      <c r="J28" s="8"/>
      <c r="K28" s="8" t="s">
        <v>153</v>
      </c>
      <c r="L28" s="8"/>
    </row>
    <row r="29" customFormat="false" ht="15" hidden="false" customHeight="false" outlineLevel="0" collapsed="false">
      <c r="A29" s="8" t="s">
        <v>154</v>
      </c>
      <c r="B29" s="8" t="s">
        <v>155</v>
      </c>
      <c r="C29" s="8" t="s">
        <v>120</v>
      </c>
      <c r="D29" s="8" t="s">
        <v>62</v>
      </c>
      <c r="E29" s="8" t="s">
        <v>75</v>
      </c>
      <c r="F29" s="8" t="s">
        <v>39</v>
      </c>
      <c r="G29" s="8"/>
      <c r="H29" s="8"/>
      <c r="I29" s="8"/>
      <c r="J29" s="8"/>
      <c r="K29" s="8" t="s">
        <v>156</v>
      </c>
      <c r="L29" s="8"/>
    </row>
    <row r="30" customFormat="false" ht="15" hidden="false" customHeight="false" outlineLevel="0" collapsed="false">
      <c r="A30" s="8" t="s">
        <v>157</v>
      </c>
      <c r="B30" s="8" t="s">
        <v>158</v>
      </c>
      <c r="C30" s="8" t="s">
        <v>120</v>
      </c>
      <c r="D30" s="8" t="s">
        <v>62</v>
      </c>
      <c r="E30" s="8" t="s">
        <v>75</v>
      </c>
      <c r="F30" s="8" t="s">
        <v>39</v>
      </c>
      <c r="G30" s="8"/>
      <c r="H30" s="8"/>
      <c r="I30" s="8"/>
      <c r="J30" s="8"/>
      <c r="K30" s="8" t="s">
        <v>40</v>
      </c>
      <c r="L30" s="8" t="s">
        <v>159</v>
      </c>
    </row>
    <row r="31" customFormat="false" ht="35.05" hidden="false" customHeight="false" outlineLevel="0" collapsed="false">
      <c r="A31" s="8" t="s">
        <v>160</v>
      </c>
      <c r="B31" s="8" t="s">
        <v>161</v>
      </c>
      <c r="C31" s="8" t="s">
        <v>120</v>
      </c>
      <c r="D31" s="8" t="s">
        <v>62</v>
      </c>
      <c r="E31" s="8" t="s">
        <v>75</v>
      </c>
      <c r="F31" s="8" t="s">
        <v>39</v>
      </c>
      <c r="G31" s="8"/>
      <c r="H31" s="8"/>
      <c r="I31" s="8"/>
      <c r="J31" s="8" t="s">
        <v>162</v>
      </c>
      <c r="K31" s="8" t="s">
        <v>163</v>
      </c>
      <c r="L31" s="8" t="s">
        <v>164</v>
      </c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4" t="s">
        <v>165</v>
      </c>
    </row>
    <row r="2" customFormat="false" ht="27.75" hidden="false" customHeight="true" outlineLevel="0" collapsed="false">
      <c r="A2" s="5" t="s">
        <v>166</v>
      </c>
      <c r="B2" s="5" t="s">
        <v>167</v>
      </c>
      <c r="C2" s="5" t="s">
        <v>168</v>
      </c>
      <c r="D2" s="5" t="s">
        <v>169</v>
      </c>
      <c r="E2" s="5" t="s">
        <v>170</v>
      </c>
      <c r="F2" s="5" t="s">
        <v>171</v>
      </c>
      <c r="G2" s="5" t="s">
        <v>172</v>
      </c>
    </row>
    <row r="3" customFormat="false" ht="23.85" hidden="false" customHeight="false" outlineLevel="0" collapsed="false">
      <c r="A3" s="8" t="s">
        <v>173</v>
      </c>
      <c r="B3" s="8" t="s">
        <v>174</v>
      </c>
      <c r="C3" s="8" t="s">
        <v>175</v>
      </c>
      <c r="D3" s="8" t="s">
        <v>176</v>
      </c>
      <c r="E3" s="8" t="s">
        <v>177</v>
      </c>
      <c r="F3" s="8" t="s">
        <v>178</v>
      </c>
      <c r="G3" s="8" t="s">
        <v>179</v>
      </c>
    </row>
    <row r="4" customFormat="false" ht="23.85" hidden="false" customHeight="false" outlineLevel="0" collapsed="false">
      <c r="A4" s="8" t="s">
        <v>180</v>
      </c>
      <c r="B4" s="8" t="s">
        <v>174</v>
      </c>
      <c r="C4" s="8" t="s">
        <v>181</v>
      </c>
      <c r="D4" s="8" t="s">
        <v>182</v>
      </c>
      <c r="E4" s="8" t="s">
        <v>177</v>
      </c>
      <c r="F4" s="8"/>
      <c r="G4" s="8" t="s">
        <v>106</v>
      </c>
    </row>
    <row r="5" customFormat="false" ht="23.85" hidden="false" customHeight="false" outlineLevel="0" collapsed="false">
      <c r="A5" s="8" t="s">
        <v>183</v>
      </c>
      <c r="B5" s="8" t="s">
        <v>174</v>
      </c>
      <c r="C5" s="8" t="s">
        <v>184</v>
      </c>
      <c r="D5" s="8" t="s">
        <v>185</v>
      </c>
      <c r="E5" s="8" t="s">
        <v>177</v>
      </c>
      <c r="F5" s="8" t="s">
        <v>186</v>
      </c>
      <c r="G5" s="8" t="s">
        <v>187</v>
      </c>
    </row>
    <row r="6" customFormat="false" ht="23.85" hidden="false" customHeight="false" outlineLevel="0" collapsed="false">
      <c r="A6" s="8" t="s">
        <v>188</v>
      </c>
      <c r="B6" s="8" t="s">
        <v>174</v>
      </c>
      <c r="C6" s="8" t="s">
        <v>189</v>
      </c>
      <c r="D6" s="8" t="s">
        <v>190</v>
      </c>
      <c r="E6" s="8" t="s">
        <v>191</v>
      </c>
      <c r="F6" s="8" t="s">
        <v>192</v>
      </c>
      <c r="G6" s="8" t="s">
        <v>193</v>
      </c>
    </row>
    <row r="7" customFormat="false" ht="23.85" hidden="false" customHeight="false" outlineLevel="0" collapsed="false">
      <c r="A7" s="8" t="s">
        <v>194</v>
      </c>
      <c r="B7" s="8" t="s">
        <v>174</v>
      </c>
      <c r="C7" s="8" t="s">
        <v>195</v>
      </c>
      <c r="D7" s="8" t="s">
        <v>190</v>
      </c>
      <c r="E7" s="8" t="s">
        <v>191</v>
      </c>
      <c r="F7" s="8" t="s">
        <v>196</v>
      </c>
      <c r="G7" s="8" t="s">
        <v>106</v>
      </c>
    </row>
    <row r="8" customFormat="false" ht="23.85" hidden="false" customHeight="false" outlineLevel="0" collapsed="false">
      <c r="A8" s="8" t="s">
        <v>197</v>
      </c>
      <c r="B8" s="8" t="s">
        <v>174</v>
      </c>
      <c r="C8" s="8" t="s">
        <v>198</v>
      </c>
      <c r="D8" s="8" t="s">
        <v>199</v>
      </c>
      <c r="E8" s="8" t="s">
        <v>200</v>
      </c>
      <c r="F8" s="8" t="s">
        <v>201</v>
      </c>
      <c r="G8" s="8" t="s">
        <v>163</v>
      </c>
    </row>
    <row r="9" customFormat="false" ht="23.85" hidden="false" customHeight="false" outlineLevel="0" collapsed="false">
      <c r="A9" s="8" t="s">
        <v>202</v>
      </c>
      <c r="B9" s="8" t="s">
        <v>174</v>
      </c>
      <c r="C9" s="8" t="s">
        <v>203</v>
      </c>
      <c r="D9" s="8" t="s">
        <v>204</v>
      </c>
      <c r="E9" s="8" t="s">
        <v>200</v>
      </c>
      <c r="F9" s="8"/>
      <c r="G9" s="8" t="s">
        <v>187</v>
      </c>
    </row>
    <row r="10" customFormat="false" ht="23.85" hidden="false" customHeight="false" outlineLevel="0" collapsed="false">
      <c r="A10" s="8" t="s">
        <v>205</v>
      </c>
      <c r="B10" s="8" t="s">
        <v>174</v>
      </c>
      <c r="C10" s="8" t="s">
        <v>206</v>
      </c>
      <c r="D10" s="8" t="s">
        <v>207</v>
      </c>
      <c r="E10" s="8" t="s">
        <v>208</v>
      </c>
      <c r="F10" s="8" t="s">
        <v>209</v>
      </c>
      <c r="G10" s="8" t="s">
        <v>40</v>
      </c>
    </row>
    <row r="11" customFormat="false" ht="23.85" hidden="false" customHeight="false" outlineLevel="0" collapsed="false">
      <c r="A11" s="8" t="s">
        <v>210</v>
      </c>
      <c r="B11" s="8" t="s">
        <v>211</v>
      </c>
      <c r="C11" s="8" t="s">
        <v>212</v>
      </c>
      <c r="D11" s="8" t="s">
        <v>213</v>
      </c>
      <c r="E11" s="8" t="s">
        <v>214</v>
      </c>
      <c r="F11" s="8" t="s">
        <v>215</v>
      </c>
      <c r="G11" s="8" t="s">
        <v>72</v>
      </c>
    </row>
    <row r="12" customFormat="false" ht="15" hidden="false" customHeight="false" outlineLevel="0" collapsed="false">
      <c r="A12" s="8" t="s">
        <v>216</v>
      </c>
      <c r="B12" s="8" t="s">
        <v>211</v>
      </c>
      <c r="C12" s="8" t="s">
        <v>217</v>
      </c>
      <c r="D12" s="8" t="s">
        <v>218</v>
      </c>
      <c r="E12" s="8" t="s">
        <v>214</v>
      </c>
      <c r="F12" s="8" t="s">
        <v>219</v>
      </c>
      <c r="G12" s="8" t="s">
        <v>40</v>
      </c>
    </row>
    <row r="13" customFormat="false" ht="15" hidden="false" customHeight="false" outlineLevel="0" collapsed="false">
      <c r="A13" s="8" t="s">
        <v>220</v>
      </c>
      <c r="B13" s="8" t="s">
        <v>211</v>
      </c>
      <c r="C13" s="8" t="s">
        <v>221</v>
      </c>
      <c r="D13" s="8" t="s">
        <v>222</v>
      </c>
      <c r="E13" s="8" t="s">
        <v>214</v>
      </c>
      <c r="F13" s="8" t="s">
        <v>219</v>
      </c>
      <c r="G13" s="8" t="s">
        <v>72</v>
      </c>
    </row>
    <row r="14" customFormat="false" ht="35.05" hidden="false" customHeight="false" outlineLevel="0" collapsed="false">
      <c r="A14" s="8" t="s">
        <v>223</v>
      </c>
      <c r="B14" s="8" t="s">
        <v>211</v>
      </c>
      <c r="C14" s="8" t="s">
        <v>224</v>
      </c>
      <c r="D14" s="8" t="s">
        <v>225</v>
      </c>
      <c r="E14" s="8" t="s">
        <v>214</v>
      </c>
      <c r="F14" s="8" t="s">
        <v>226</v>
      </c>
      <c r="G14" s="8" t="s">
        <v>163</v>
      </c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227</v>
      </c>
    </row>
    <row r="2" customFormat="false" ht="27.75" hidden="false" customHeight="true" outlineLevel="0" collapsed="false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5" t="s">
        <v>233</v>
      </c>
      <c r="G2" s="5" t="s">
        <v>234</v>
      </c>
      <c r="H2" s="5" t="s">
        <v>235</v>
      </c>
    </row>
    <row r="3" customFormat="false" ht="15" hidden="false" customHeight="false" outlineLevel="0" collapsed="false">
      <c r="A3" s="8" t="s">
        <v>236</v>
      </c>
      <c r="B3" s="8" t="s">
        <v>237</v>
      </c>
      <c r="C3" s="8" t="s">
        <v>238</v>
      </c>
      <c r="D3" s="8" t="s">
        <v>239</v>
      </c>
      <c r="E3" s="8" t="s">
        <v>240</v>
      </c>
      <c r="F3" s="8"/>
      <c r="G3" s="8" t="s">
        <v>241</v>
      </c>
      <c r="H3" s="8" t="s">
        <v>242</v>
      </c>
    </row>
    <row r="4" customFormat="false" ht="15" hidden="false" customHeight="false" outlineLevel="0" collapsed="false">
      <c r="A4" s="8" t="s">
        <v>243</v>
      </c>
      <c r="B4" s="8" t="s">
        <v>244</v>
      </c>
      <c r="C4" s="8" t="s">
        <v>238</v>
      </c>
      <c r="D4" s="8" t="s">
        <v>245</v>
      </c>
      <c r="E4" s="8" t="s">
        <v>246</v>
      </c>
      <c r="F4" s="8"/>
      <c r="G4" s="8" t="s">
        <v>241</v>
      </c>
      <c r="H4" s="8" t="s">
        <v>247</v>
      </c>
    </row>
    <row r="5" customFormat="false" ht="23.85" hidden="false" customHeight="false" outlineLevel="0" collapsed="false">
      <c r="A5" s="8" t="s">
        <v>248</v>
      </c>
      <c r="B5" s="8" t="s">
        <v>249</v>
      </c>
      <c r="C5" s="8" t="s">
        <v>238</v>
      </c>
      <c r="D5" s="8" t="s">
        <v>250</v>
      </c>
      <c r="E5" s="8" t="s">
        <v>251</v>
      </c>
      <c r="F5" s="8"/>
      <c r="G5" s="8" t="s">
        <v>241</v>
      </c>
      <c r="H5" s="8" t="s">
        <v>252</v>
      </c>
    </row>
    <row r="6" customFormat="false" ht="15" hidden="false" customHeight="false" outlineLevel="0" collapsed="false">
      <c r="A6" s="8" t="s">
        <v>253</v>
      </c>
      <c r="B6" s="8" t="s">
        <v>254</v>
      </c>
      <c r="C6" s="8" t="s">
        <v>238</v>
      </c>
      <c r="D6" s="8" t="s">
        <v>255</v>
      </c>
      <c r="E6" s="8" t="s">
        <v>256</v>
      </c>
      <c r="F6" s="8"/>
      <c r="G6" s="8" t="s">
        <v>241</v>
      </c>
      <c r="H6" s="8" t="s">
        <v>257</v>
      </c>
    </row>
    <row r="7" customFormat="false" ht="15" hidden="false" customHeight="false" outlineLevel="0" collapsed="false">
      <c r="A7" s="8" t="s">
        <v>258</v>
      </c>
      <c r="B7" s="8" t="s">
        <v>259</v>
      </c>
      <c r="C7" s="8" t="s">
        <v>260</v>
      </c>
      <c r="D7" s="8" t="s">
        <v>261</v>
      </c>
      <c r="E7" s="8" t="s">
        <v>262</v>
      </c>
      <c r="F7" s="8"/>
      <c r="G7" s="8" t="s">
        <v>241</v>
      </c>
      <c r="H7" s="8" t="s">
        <v>263</v>
      </c>
    </row>
    <row r="8" customFormat="false" ht="23.85" hidden="false" customHeight="false" outlineLevel="0" collapsed="false">
      <c r="A8" s="8" t="s">
        <v>264</v>
      </c>
      <c r="B8" s="8" t="s">
        <v>265</v>
      </c>
      <c r="C8" s="8" t="s">
        <v>260</v>
      </c>
      <c r="D8" s="8" t="s">
        <v>266</v>
      </c>
      <c r="E8" s="8" t="s">
        <v>267</v>
      </c>
      <c r="F8" s="8"/>
      <c r="G8" s="8" t="s">
        <v>241</v>
      </c>
      <c r="H8" s="8" t="s">
        <v>268</v>
      </c>
    </row>
    <row r="9" customFormat="false" ht="15" hidden="false" customHeight="false" outlineLevel="0" collapsed="false">
      <c r="A9" s="8" t="s">
        <v>269</v>
      </c>
      <c r="B9" s="8" t="s">
        <v>270</v>
      </c>
      <c r="C9" s="8" t="s">
        <v>260</v>
      </c>
      <c r="D9" s="8" t="s">
        <v>271</v>
      </c>
      <c r="E9" s="8" t="s">
        <v>272</v>
      </c>
      <c r="F9" s="8"/>
      <c r="G9" s="8" t="s">
        <v>241</v>
      </c>
      <c r="H9" s="8" t="s">
        <v>273</v>
      </c>
    </row>
    <row r="10" customFormat="false" ht="23.85" hidden="false" customHeight="false" outlineLevel="0" collapsed="false">
      <c r="A10" s="8" t="s">
        <v>274</v>
      </c>
      <c r="B10" s="8" t="s">
        <v>275</v>
      </c>
      <c r="C10" s="8" t="s">
        <v>276</v>
      </c>
      <c r="D10" s="8" t="s">
        <v>277</v>
      </c>
      <c r="E10" s="8" t="s">
        <v>278</v>
      </c>
      <c r="F10" s="8"/>
      <c r="G10" s="8" t="s">
        <v>241</v>
      </c>
      <c r="H10" s="8" t="s">
        <v>279</v>
      </c>
    </row>
    <row r="11" customFormat="false" ht="23.85" hidden="false" customHeight="false" outlineLevel="0" collapsed="false">
      <c r="A11" s="8" t="s">
        <v>280</v>
      </c>
      <c r="B11" s="8" t="s">
        <v>281</v>
      </c>
      <c r="C11" s="8" t="s">
        <v>260</v>
      </c>
      <c r="D11" s="8" t="s">
        <v>282</v>
      </c>
      <c r="E11" s="8" t="s">
        <v>283</v>
      </c>
      <c r="F11" s="8"/>
      <c r="G11" s="8" t="s">
        <v>241</v>
      </c>
      <c r="H11" s="8" t="s">
        <v>284</v>
      </c>
    </row>
    <row r="12" customFormat="false" ht="15" hidden="false" customHeight="false" outlineLevel="0" collapsed="false">
      <c r="A12" s="8" t="s">
        <v>285</v>
      </c>
      <c r="B12" s="8" t="s">
        <v>286</v>
      </c>
      <c r="C12" s="8" t="s">
        <v>238</v>
      </c>
      <c r="D12" s="8" t="s">
        <v>287</v>
      </c>
      <c r="E12" s="8" t="s">
        <v>288</v>
      </c>
      <c r="F12" s="8"/>
      <c r="G12" s="8" t="s">
        <v>241</v>
      </c>
      <c r="H12" s="8" t="s">
        <v>289</v>
      </c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2026-07-28T09:52:51Z</dcterms:created>
  <dc:creator>openpyxl</dc:creator>
  <dc:description/>
  <dc:language>en-US</dc:language>
  <cp:lastModifiedBy/>
  <dcterms:modified xsi:type="dcterms:W3CDTF">2026-07-28T09:52:51Z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